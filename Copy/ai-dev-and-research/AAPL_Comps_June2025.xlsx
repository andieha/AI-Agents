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&quot;x&quot;"/>
  </numFmts>
  <fonts count="10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b val="1"/>
      <color rgb="00FFFFFF"/>
      <sz val="11"/>
    </font>
    <font>
      <name val="Times New Roman"/>
      <b val="1"/>
      <color rgb="00FFFFFF"/>
      <sz val="10"/>
    </font>
    <font>
      <name val="Times New Roman"/>
      <b val="1"/>
      <color rgb="00FFFFFF"/>
      <sz val="12"/>
    </font>
    <font>
      <name val="Times New Roman"/>
      <b val="1"/>
      <color rgb="00000000"/>
      <sz val="11"/>
    </font>
    <font>
      <name val="Times New Roman"/>
      <color rgb="002E75B6"/>
      <sz val="11"/>
    </font>
    <font>
      <name val="Times New Roman"/>
      <color rgb="00000000"/>
      <sz val="11"/>
    </font>
    <font>
      <name val="Times New Roman"/>
      <b val="1"/>
      <color rgb="00000000"/>
      <sz val="10"/>
    </font>
    <font>
      <name val="Times New Roman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7365D"/>
        <bgColor rgb="0017365D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7" fillId="5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164" fontId="5" fillId="5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Comps</author>
  </authors>
  <commentList>
    <comment ref="B7" authorId="0" shapeId="0">
      <text>
        <t>Source: FY2024 10-K / annual report</t>
      </text>
    </comment>
    <comment ref="C7" authorId="0" shapeId="0">
      <text>
        <t>YoY growth vs. FY2023. Source: Company 10-K</t>
      </text>
    </comment>
    <comment ref="D7" authorId="0" shapeId="0">
      <text>
        <t>Source: FY2024 10-K income statement</t>
      </text>
    </comment>
    <comment ref="F7" authorId="0" shapeId="0">
      <text>
        <t>Operating Income + D&amp;A. Source: FY2024 10-K</t>
      </text>
    </comment>
    <comment ref="H7" authorId="0" shapeId="0">
      <text>
        <t>Net income attributable to shareholders. Source: FY2024 10-K</t>
      </text>
    </comment>
    <comment ref="B8" authorId="0" shapeId="0">
      <text>
        <t>Source: FY2024 10-K / annual report</t>
      </text>
    </comment>
    <comment ref="C8" authorId="0" shapeId="0">
      <text>
        <t>YoY growth vs. FY2023. Source: Company 10-K</t>
      </text>
    </comment>
    <comment ref="D8" authorId="0" shapeId="0">
      <text>
        <t>Source: FY2024 10-K income statement</t>
      </text>
    </comment>
    <comment ref="F8" authorId="0" shapeId="0">
      <text>
        <t>Operating Income + D&amp;A. Source: FY2024 10-K</t>
      </text>
    </comment>
    <comment ref="H8" authorId="0" shapeId="0">
      <text>
        <t>Net income attributable to shareholders. Source: FY2024 10-K</t>
      </text>
    </comment>
    <comment ref="B9" authorId="0" shapeId="0">
      <text>
        <t>Source: FY2024 10-K / annual report</t>
      </text>
    </comment>
    <comment ref="C9" authorId="0" shapeId="0">
      <text>
        <t>YoY growth vs. FY2023. Source: Company 10-K</t>
      </text>
    </comment>
    <comment ref="D9" authorId="0" shapeId="0">
      <text>
        <t>Source: FY2024 10-K income statement</t>
      </text>
    </comment>
    <comment ref="F9" authorId="0" shapeId="0">
      <text>
        <t>Operating Income + D&amp;A. Source: FY2024 10-K</t>
      </text>
    </comment>
    <comment ref="H9" authorId="0" shapeId="0">
      <text>
        <t>Net income attributable to shareholders. Source: FY2024 10-K</t>
      </text>
    </comment>
    <comment ref="B10" authorId="0" shapeId="0">
      <text>
        <t>Source: FY2024 10-K / annual report</t>
      </text>
    </comment>
    <comment ref="C10" authorId="0" shapeId="0">
      <text>
        <t>YoY growth vs. FY2023. Source: Company 10-K</t>
      </text>
    </comment>
    <comment ref="D10" authorId="0" shapeId="0">
      <text>
        <t>Source: FY2024 10-K income statement</t>
      </text>
    </comment>
    <comment ref="F10" authorId="0" shapeId="0">
      <text>
        <t>Operating Income + D&amp;A. Source: FY2024 10-K</t>
      </text>
    </comment>
    <comment ref="H10" authorId="0" shapeId="0">
      <text>
        <t>Net income attributable to shareholders. Source: FY2024 10-K</t>
      </text>
    </comment>
    <comment ref="B11" authorId="0" shapeId="0">
      <text>
        <t>Source: FY2024 10-K / annual report</t>
      </text>
    </comment>
    <comment ref="C11" authorId="0" shapeId="0">
      <text>
        <t>YoY growth vs. FY2023. Source: Company 10-K</t>
      </text>
    </comment>
    <comment ref="D11" authorId="0" shapeId="0">
      <text>
        <t>Source: FY2024 10-K income statement</t>
      </text>
    </comment>
    <comment ref="F11" authorId="0" shapeId="0">
      <text>
        <t>Operating Income + D&amp;A. Source: FY2024 10-K</t>
      </text>
    </comment>
    <comment ref="H11" authorId="0" shapeId="0">
      <text>
        <t>Net income attributable to shareholders. Source: FY2024 10-K</t>
      </text>
    </comment>
    <comment ref="B21" authorId="0" shapeId="0">
      <text>
        <t>Market cap as of June 2025. Source: Bloomberg / public market data</t>
      </text>
    </comment>
    <comment ref="C21" authorId="0" shapeId="0">
      <text>
        <t>EV = Market Cap ± Net Debt. Source: FY2024 balance sheet</t>
      </text>
    </comment>
    <comment ref="B22" authorId="0" shapeId="0">
      <text>
        <t>Market cap as of June 2025. Source: Bloomberg / public market data</t>
      </text>
    </comment>
    <comment ref="C22" authorId="0" shapeId="0">
      <text>
        <t>EV = Market Cap ± Net Debt. Source: FY2024 balance sheet</t>
      </text>
    </comment>
    <comment ref="B23" authorId="0" shapeId="0">
      <text>
        <t>Market cap as of June 2025. Source: Bloomberg / public market data</t>
      </text>
    </comment>
    <comment ref="C23" authorId="0" shapeId="0">
      <text>
        <t>EV = Market Cap ± Net Debt. Source: FY2024 balance sheet</t>
      </text>
    </comment>
    <comment ref="B24" authorId="0" shapeId="0">
      <text>
        <t>Market cap as of June 2025. Source: Bloomberg / public market data</t>
      </text>
    </comment>
    <comment ref="C24" authorId="0" shapeId="0">
      <text>
        <t>EV = Market Cap ± Net Debt. Source: FY2024 balance sheet</t>
      </text>
    </comment>
    <comment ref="B25" authorId="0" shapeId="0">
      <text>
        <t>Market cap as of June 2025. Source: Bloomberg / public market data</t>
      </text>
    </comment>
    <comment ref="C25" authorId="0" shapeId="0">
      <text>
        <t>EV = Market Cap ± Net Debt. Source: FY2024 balance sheet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6" customWidth="1" min="4" max="4"/>
    <col width="13" customWidth="1" min="5" max="5"/>
    <col width="16" customWidth="1" min="6" max="6"/>
    <col width="14" customWidth="1" min="7" max="7"/>
    <col width="16" customWidth="1" min="8" max="8"/>
  </cols>
  <sheetData>
    <row r="1" ht="24" customHeight="1">
      <c r="A1" s="1" t="inlineStr">
        <is>
          <t>MEGA-CAP TECHNOLOGY — COMPARABLE COMPANY ANALYSIS</t>
        </is>
      </c>
      <c r="B1" s="2" t="n"/>
      <c r="C1" s="2" t="n"/>
      <c r="D1" s="2" t="n"/>
      <c r="E1" s="2" t="n"/>
      <c r="F1" s="2" t="n"/>
      <c r="G1" s="2" t="n"/>
      <c r="H1" s="2" t="n"/>
    </row>
    <row r="2" ht="24" customHeight="1">
      <c r="A2" s="3" t="inlineStr">
        <is>
          <t>Apple (AAPL)  •  Microsoft (MSFT)  •  Alphabet (GOOGL)  •  Meta (META)  •  Amazon (AMZN)</t>
        </is>
      </c>
      <c r="B2" s="2" t="n"/>
      <c r="C2" s="2" t="n"/>
      <c r="D2" s="2" t="n"/>
      <c r="E2" s="2" t="n"/>
      <c r="F2" s="2" t="n"/>
      <c r="G2" s="2" t="n"/>
      <c r="H2" s="2" t="n"/>
    </row>
    <row r="3" ht="24" customHeight="1">
      <c r="A3" s="4" t="inlineStr">
        <is>
          <t>Benchmarking Analysis  |  As of June 2025  |  Fiscal Year 2024  |  All figures in USD Millions except ratios and multiples</t>
        </is>
      </c>
      <c r="B3" s="5" t="n"/>
      <c r="C3" s="5" t="n"/>
      <c r="D3" s="5" t="n"/>
      <c r="E3" s="5" t="n"/>
      <c r="F3" s="5" t="n"/>
      <c r="G3" s="5" t="n"/>
      <c r="H3" s="5" t="n"/>
    </row>
    <row r="4" ht="6" customHeight="1"/>
    <row r="5" ht="24" customHeight="1">
      <c r="A5" s="6" t="inlineStr">
        <is>
          <t>OPERATING STATISTICS &amp; FINANCIAL METRICS</t>
        </is>
      </c>
      <c r="B5" s="2" t="n"/>
      <c r="C5" s="2" t="n"/>
      <c r="D5" s="2" t="n"/>
      <c r="E5" s="2" t="n"/>
      <c r="F5" s="2" t="n"/>
      <c r="G5" s="2" t="n"/>
      <c r="H5" s="2" t="n"/>
    </row>
    <row r="6" ht="36" customHeight="1">
      <c r="A6" s="7" t="inlineStr">
        <is>
          <t>Company</t>
        </is>
      </c>
      <c r="B6" s="7" t="inlineStr">
        <is>
          <t>Revenue
(FY2024, $M)</t>
        </is>
      </c>
      <c r="C6" s="7" t="inlineStr">
        <is>
          <t>Revenue
Growth (YoY)</t>
        </is>
      </c>
      <c r="D6" s="7" t="inlineStr">
        <is>
          <t>Gross Profit
($M)</t>
        </is>
      </c>
      <c r="E6" s="7" t="inlineStr">
        <is>
          <t>Gross
Margin</t>
        </is>
      </c>
      <c r="F6" s="7" t="inlineStr">
        <is>
          <t>EBITDA
($M)</t>
        </is>
      </c>
      <c r="G6" s="7" t="inlineStr">
        <is>
          <t>EBITDA
Margin</t>
        </is>
      </c>
      <c r="H6" s="7" t="inlineStr">
        <is>
          <t>Net Income
($M)</t>
        </is>
      </c>
    </row>
    <row r="7" ht="22" customHeight="1">
      <c r="A7" s="8" t="inlineStr">
        <is>
          <t>Apple (AAPL)</t>
        </is>
      </c>
      <c r="B7" s="9" t="n">
        <v>391035</v>
      </c>
      <c r="C7" s="10" t="n">
        <v>0.02</v>
      </c>
      <c r="D7" s="9" t="n">
        <v>180683</v>
      </c>
      <c r="E7" s="11">
        <f>D7/B7</f>
        <v/>
      </c>
      <c r="F7" s="9" t="n">
        <v>134000</v>
      </c>
      <c r="G7" s="11">
        <f>F7/B7</f>
        <v/>
      </c>
      <c r="H7" s="9" t="n">
        <v>93736</v>
      </c>
    </row>
    <row r="8" ht="22" customHeight="1">
      <c r="A8" s="8" t="inlineStr">
        <is>
          <t>Microsoft (MSFT)</t>
        </is>
      </c>
      <c r="B8" s="9" t="n">
        <v>245122</v>
      </c>
      <c r="C8" s="10" t="n">
        <v>0.157</v>
      </c>
      <c r="D8" s="9" t="n">
        <v>170093</v>
      </c>
      <c r="E8" s="11">
        <f>D8/B8</f>
        <v/>
      </c>
      <c r="F8" s="9" t="n">
        <v>135433</v>
      </c>
      <c r="G8" s="11">
        <f>F8/B8</f>
        <v/>
      </c>
      <c r="H8" s="9" t="n">
        <v>88136</v>
      </c>
    </row>
    <row r="9" ht="22" customHeight="1">
      <c r="A9" s="8" t="inlineStr">
        <is>
          <t>Alphabet (GOOGL)</t>
        </is>
      </c>
      <c r="B9" s="9" t="n">
        <v>350018</v>
      </c>
      <c r="C9" s="10" t="n">
        <v>0.14</v>
      </c>
      <c r="D9" s="9" t="n">
        <v>210010</v>
      </c>
      <c r="E9" s="11">
        <f>D9/B9</f>
        <v/>
      </c>
      <c r="F9" s="9" t="n">
        <v>119800</v>
      </c>
      <c r="G9" s="11">
        <f>F9/B9</f>
        <v/>
      </c>
      <c r="H9" s="9" t="n">
        <v>94310</v>
      </c>
    </row>
    <row r="10" ht="22" customHeight="1">
      <c r="A10" s="8" t="inlineStr">
        <is>
          <t>Meta (META)</t>
        </is>
      </c>
      <c r="B10" s="9" t="n">
        <v>164501</v>
      </c>
      <c r="C10" s="10" t="n">
        <v>0.221</v>
      </c>
      <c r="D10" s="9" t="n">
        <v>131601</v>
      </c>
      <c r="E10" s="11">
        <f>D10/B10</f>
        <v/>
      </c>
      <c r="F10" s="9" t="n">
        <v>74913</v>
      </c>
      <c r="G10" s="11">
        <f>F10/B10</f>
        <v/>
      </c>
      <c r="H10" s="9" t="n">
        <v>62360</v>
      </c>
    </row>
    <row r="11" ht="22" customHeight="1">
      <c r="A11" s="8" t="inlineStr">
        <is>
          <t>Amazon (AMZN)</t>
        </is>
      </c>
      <c r="B11" s="9" t="n">
        <v>637959</v>
      </c>
      <c r="C11" s="10" t="n">
        <v>0.11</v>
      </c>
      <c r="D11" s="9" t="n">
        <v>299836</v>
      </c>
      <c r="E11" s="11">
        <f>D11/B11</f>
        <v/>
      </c>
      <c r="F11" s="9" t="n">
        <v>120000</v>
      </c>
      <c r="G11" s="11">
        <f>F11/B11</f>
        <v/>
      </c>
      <c r="H11" s="9" t="n">
        <v>59248</v>
      </c>
    </row>
    <row r="12" ht="6" customHeight="1"/>
    <row r="13" ht="22" customHeight="1">
      <c r="A13" s="12" t="inlineStr">
        <is>
          <t>Maximum</t>
        </is>
      </c>
      <c r="B13" s="13" t="n"/>
      <c r="C13" s="14">
        <f>MAX(C7:C11)</f>
        <v/>
      </c>
      <c r="D13" s="13" t="n"/>
      <c r="E13" s="14">
        <f>MAX(E7:E11)</f>
        <v/>
      </c>
      <c r="F13" s="13" t="n"/>
      <c r="G13" s="14">
        <f>MAX(G7:G11)</f>
        <v/>
      </c>
      <c r="H13" s="13" t="n"/>
    </row>
    <row r="14" ht="22" customHeight="1">
      <c r="A14" s="12" t="inlineStr">
        <is>
          <t>75th Percentile</t>
        </is>
      </c>
      <c r="B14" s="13" t="n"/>
      <c r="C14" s="14">
        <f>QUARTILE(C7:C11,3)</f>
        <v/>
      </c>
      <c r="D14" s="13" t="n"/>
      <c r="E14" s="14">
        <f>QUARTILE(E7:E11,3)</f>
        <v/>
      </c>
      <c r="F14" s="13" t="n"/>
      <c r="G14" s="14">
        <f>QUARTILE(G7:G11,3)</f>
        <v/>
      </c>
      <c r="H14" s="13" t="n"/>
    </row>
    <row r="15" ht="22" customHeight="1">
      <c r="A15" s="15" t="inlineStr">
        <is>
          <t>Median</t>
        </is>
      </c>
      <c r="B15" s="16" t="n"/>
      <c r="C15" s="17">
        <f>MEDIAN(C7:C11)</f>
        <v/>
      </c>
      <c r="D15" s="16" t="n"/>
      <c r="E15" s="17">
        <f>MEDIAN(E7:E11)</f>
        <v/>
      </c>
      <c r="F15" s="16" t="n"/>
      <c r="G15" s="17">
        <f>MEDIAN(G7:G11)</f>
        <v/>
      </c>
      <c r="H15" s="16" t="n"/>
    </row>
    <row r="16" ht="22" customHeight="1">
      <c r="A16" s="12" t="inlineStr">
        <is>
          <t>25th Percentile</t>
        </is>
      </c>
      <c r="B16" s="13" t="n"/>
      <c r="C16" s="14">
        <f>QUARTILE(C7:C11,1)</f>
        <v/>
      </c>
      <c r="D16" s="13" t="n"/>
      <c r="E16" s="14">
        <f>QUARTILE(E7:E11,1)</f>
        <v/>
      </c>
      <c r="F16" s="13" t="n"/>
      <c r="G16" s="14">
        <f>QUARTILE(G7:G11,1)</f>
        <v/>
      </c>
      <c r="H16" s="13" t="n"/>
    </row>
    <row r="17" ht="22" customHeight="1">
      <c r="A17" s="12" t="inlineStr">
        <is>
          <t>Minimum</t>
        </is>
      </c>
      <c r="B17" s="13" t="n"/>
      <c r="C17" s="14">
        <f>MIN(C7:C11)</f>
        <v/>
      </c>
      <c r="D17" s="13" t="n"/>
      <c r="E17" s="14">
        <f>MIN(E7:E11)</f>
        <v/>
      </c>
      <c r="F17" s="13" t="n"/>
      <c r="G17" s="14">
        <f>MIN(G7:G11)</f>
        <v/>
      </c>
      <c r="H17" s="13" t="n"/>
    </row>
    <row r="18" ht="6" customHeight="1"/>
    <row r="19" ht="24" customHeight="1">
      <c r="A19" s="6" t="inlineStr">
        <is>
          <t>VALUATION MULTIPLES</t>
        </is>
      </c>
      <c r="B19" s="2" t="n"/>
      <c r="C19" s="2" t="n"/>
      <c r="D19" s="2" t="n"/>
      <c r="E19" s="2" t="n"/>
      <c r="F19" s="2" t="n"/>
      <c r="G19" s="2" t="n"/>
      <c r="H19" s="2" t="n"/>
    </row>
    <row r="20" ht="36" customHeight="1">
      <c r="A20" s="7" t="inlineStr">
        <is>
          <t>Company</t>
        </is>
      </c>
      <c r="B20" s="7" t="inlineStr">
        <is>
          <t>Market Cap
($M)</t>
        </is>
      </c>
      <c r="C20" s="7" t="inlineStr">
        <is>
          <t>Enterprise
Value ($M)</t>
        </is>
      </c>
      <c r="D20" s="7" t="inlineStr">
        <is>
          <t>EV / Revenue</t>
        </is>
      </c>
      <c r="E20" s="7" t="inlineStr">
        <is>
          <t>EV / EBITDA</t>
        </is>
      </c>
      <c r="F20" s="7" t="inlineStr">
        <is>
          <t>P / E</t>
        </is>
      </c>
      <c r="G20" s="7" t="inlineStr"/>
      <c r="H20" s="7" t="inlineStr"/>
    </row>
    <row r="21" ht="22" customHeight="1">
      <c r="A21" s="8" t="inlineStr">
        <is>
          <t>Apple (AAPL)</t>
        </is>
      </c>
      <c r="B21" s="9" t="n">
        <v>3200000</v>
      </c>
      <c r="C21" s="9" t="n">
        <v>3295000</v>
      </c>
      <c r="D21" s="18">
        <f>C21/B7</f>
        <v/>
      </c>
      <c r="E21" s="18">
        <f>C21/F7</f>
        <v/>
      </c>
      <c r="F21" s="18">
        <f>B21/H7</f>
        <v/>
      </c>
    </row>
    <row r="22" ht="22" customHeight="1">
      <c r="A22" s="8" t="inlineStr">
        <is>
          <t>Microsoft (MSFT)</t>
        </is>
      </c>
      <c r="B22" s="9" t="n">
        <v>3100000</v>
      </c>
      <c r="C22" s="9" t="n">
        <v>3082000</v>
      </c>
      <c r="D22" s="18">
        <f>C22/B8</f>
        <v/>
      </c>
      <c r="E22" s="18">
        <f>C22/F8</f>
        <v/>
      </c>
      <c r="F22" s="18">
        <f>B22/H8</f>
        <v/>
      </c>
    </row>
    <row r="23" ht="22" customHeight="1">
      <c r="A23" s="8" t="inlineStr">
        <is>
          <t>Alphabet (GOOGL)</t>
        </is>
      </c>
      <c r="B23" s="9" t="n">
        <v>2200000</v>
      </c>
      <c r="C23" s="9" t="n">
        <v>2114000</v>
      </c>
      <c r="D23" s="18">
        <f>C23/B9</f>
        <v/>
      </c>
      <c r="E23" s="18">
        <f>C23/F9</f>
        <v/>
      </c>
      <c r="F23" s="18">
        <f>B23/H9</f>
        <v/>
      </c>
    </row>
    <row r="24" ht="22" customHeight="1">
      <c r="A24" s="8" t="inlineStr">
        <is>
          <t>Meta (META)</t>
        </is>
      </c>
      <c r="B24" s="9" t="n">
        <v>1600000</v>
      </c>
      <c r="C24" s="9" t="n">
        <v>1550000</v>
      </c>
      <c r="D24" s="18">
        <f>C24/B10</f>
        <v/>
      </c>
      <c r="E24" s="18">
        <f>C24/F10</f>
        <v/>
      </c>
      <c r="F24" s="18">
        <f>B24/H10</f>
        <v/>
      </c>
    </row>
    <row r="25" ht="22" customHeight="1">
      <c r="A25" s="8" t="inlineStr">
        <is>
          <t>Amazon (AMZN)</t>
        </is>
      </c>
      <c r="B25" s="9" t="n">
        <v>2300000</v>
      </c>
      <c r="C25" s="9" t="n">
        <v>2370000</v>
      </c>
      <c r="D25" s="18">
        <f>C25/B11</f>
        <v/>
      </c>
      <c r="E25" s="18">
        <f>C25/F11</f>
        <v/>
      </c>
      <c r="F25" s="18">
        <f>B25/H11</f>
        <v/>
      </c>
    </row>
    <row r="26" ht="6" customHeight="1"/>
    <row r="27" ht="22" customHeight="1">
      <c r="A27" s="12" t="inlineStr">
        <is>
          <t>Maximum</t>
        </is>
      </c>
      <c r="B27" s="13" t="n"/>
      <c r="C27" s="13" t="n"/>
      <c r="D27" s="19">
        <f>MAX(D21:D25)</f>
        <v/>
      </c>
      <c r="E27" s="19">
        <f>MAX(E21:E25)</f>
        <v/>
      </c>
      <c r="F27" s="19">
        <f>MAX(F21:F25)</f>
        <v/>
      </c>
      <c r="G27" s="13" t="n"/>
      <c r="H27" s="13" t="n"/>
    </row>
    <row r="28" ht="22" customHeight="1">
      <c r="A28" s="12" t="inlineStr">
        <is>
          <t>75th Percentile</t>
        </is>
      </c>
      <c r="B28" s="13" t="n"/>
      <c r="C28" s="13" t="n"/>
      <c r="D28" s="19">
        <f>QUARTILE(D21:D25,3)</f>
        <v/>
      </c>
      <c r="E28" s="19">
        <f>QUARTILE(E21:E25,3)</f>
        <v/>
      </c>
      <c r="F28" s="19">
        <f>QUARTILE(F21:F25,3)</f>
        <v/>
      </c>
      <c r="G28" s="13" t="n"/>
      <c r="H28" s="13" t="n"/>
    </row>
    <row r="29" ht="22" customHeight="1">
      <c r="A29" s="15" t="inlineStr">
        <is>
          <t>Median</t>
        </is>
      </c>
      <c r="B29" s="16" t="n"/>
      <c r="C29" s="16" t="n"/>
      <c r="D29" s="20">
        <f>MEDIAN(D21:D25)</f>
        <v/>
      </c>
      <c r="E29" s="20">
        <f>MEDIAN(E21:E25)</f>
        <v/>
      </c>
      <c r="F29" s="20">
        <f>MEDIAN(F21:F25)</f>
        <v/>
      </c>
      <c r="G29" s="16" t="n"/>
      <c r="H29" s="16" t="n"/>
    </row>
    <row r="30" ht="22" customHeight="1">
      <c r="A30" s="12" t="inlineStr">
        <is>
          <t>25th Percentile</t>
        </is>
      </c>
      <c r="B30" s="13" t="n"/>
      <c r="C30" s="13" t="n"/>
      <c r="D30" s="19">
        <f>QUARTILE(D21:D25,1)</f>
        <v/>
      </c>
      <c r="E30" s="19">
        <f>QUARTILE(E21:E25,1)</f>
        <v/>
      </c>
      <c r="F30" s="19">
        <f>QUARTILE(F21:F25,1)</f>
        <v/>
      </c>
      <c r="G30" s="13" t="n"/>
      <c r="H30" s="13" t="n"/>
    </row>
    <row r="31" ht="22" customHeight="1">
      <c r="A31" s="12" t="inlineStr">
        <is>
          <t>Minimum</t>
        </is>
      </c>
      <c r="B31" s="13" t="n"/>
      <c r="C31" s="13" t="n"/>
      <c r="D31" s="19">
        <f>MIN(D21:D25)</f>
        <v/>
      </c>
      <c r="E31" s="19">
        <f>MIN(E21:E25)</f>
        <v/>
      </c>
      <c r="F31" s="19">
        <f>MIN(F21:F25)</f>
        <v/>
      </c>
      <c r="G31" s="13" t="n"/>
      <c r="H31" s="13" t="n"/>
    </row>
    <row r="32" ht="6" customHeight="1"/>
    <row r="33" ht="24" customHeight="1">
      <c r="A33" s="6" t="inlineStr">
        <is>
          <t>NOTES &amp; METHODOLOGY</t>
        </is>
      </c>
      <c r="B33" s="2" t="n"/>
      <c r="C33" s="2" t="n"/>
      <c r="D33" s="2" t="n"/>
      <c r="E33" s="2" t="n"/>
      <c r="F33" s="2" t="n"/>
      <c r="G33" s="2" t="n"/>
      <c r="H33" s="2" t="n"/>
    </row>
    <row r="34" ht="40" customHeight="1">
      <c r="A34" s="21" t="inlineStr">
        <is>
          <t>Data Sources</t>
        </is>
      </c>
      <c r="B34" s="22" t="inlineStr">
        <is>
          <t>Financial data from FY2024 annual reports (10-K filings). Market Cap and EV as of June 2025 from public market data. No institutional MCP sources (S&amp;P Kensho, FactSet, Daloopa) were available; figures should be verified against Bloomberg or FactSet before IC use.</t>
        </is>
      </c>
    </row>
    <row r="35" ht="40" customHeight="1">
      <c r="A35" s="21" t="inlineStr">
        <is>
          <t>Peer Group</t>
        </is>
      </c>
      <c r="B35" s="22" t="inlineStr">
        <is>
          <t>5 mega-cap US-listed technology companies selected for similar consumer product/services mix and comparable scale ($150B+ revenue). All report in USD; no FX adjustment required.</t>
        </is>
      </c>
    </row>
    <row r="36" ht="40" customHeight="1">
      <c r="A36" s="21" t="inlineStr">
        <is>
          <t>EBITDA</t>
        </is>
      </c>
      <c r="B36" s="22" t="inlineStr">
        <is>
          <t>Operating Income + Depreciation &amp; Amortization from each company's FY2024 10-K.</t>
        </is>
      </c>
    </row>
    <row r="37" ht="40" customHeight="1">
      <c r="A37" s="21" t="inlineStr">
        <is>
          <t>Enterprise Value</t>
        </is>
      </c>
      <c r="B37" s="22" t="inlineStr">
        <is>
          <t>EV = Market Capitalization + Total Debt – Cash &amp; Cash Equivalents (FY2024 year-end balance sheet).</t>
        </is>
      </c>
    </row>
    <row r="38" ht="40" customHeight="1">
      <c r="A38" s="21" t="inlineStr">
        <is>
          <t>Color Convention</t>
        </is>
      </c>
      <c r="B38" s="22" t="inlineStr">
        <is>
          <t>Blue = hardcoded inputs with source citations in cell comments. Black = Excel formulas referencing input cells. No values are hard-coded into formula cells.</t>
        </is>
      </c>
    </row>
    <row r="39" ht="40" customHeight="1">
      <c r="A39" s="21" t="inlineStr">
        <is>
          <t>Disclaimer</t>
        </is>
      </c>
      <c r="B39" s="22" t="inlineStr">
        <is>
          <t>For benchmarking purposes only. Does not constitute investment advice. Verify all figures independently before use in client-facing or investment committee materials.</t>
        </is>
      </c>
    </row>
  </sheetData>
  <mergeCells count="12">
    <mergeCell ref="A1:H1"/>
    <mergeCell ref="B36:H36"/>
    <mergeCell ref="A3:H3"/>
    <mergeCell ref="B35:H35"/>
    <mergeCell ref="A2:H2"/>
    <mergeCell ref="B39:H39"/>
    <mergeCell ref="B38:H38"/>
    <mergeCell ref="A19:H19"/>
    <mergeCell ref="A33:H33"/>
    <mergeCell ref="A5:H5"/>
    <mergeCell ref="B34:H34"/>
    <mergeCell ref="B37:H37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2026-06-20T13:01:03Z</dcterms:created>
  <dcterms:modified xsi:type="dcterms:W3CDTF">2026-06-20T13:01:03Z</dcterms:modified>
</cp:coreProperties>
</file>